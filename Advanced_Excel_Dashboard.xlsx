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bookViews>
    <workbookView xWindow="0" yWindow="0" windowWidth="23040" windowHeight="9072"/>
  </bookViews>
  <sheets>
    <sheet name="Dashboard" sheetId="1" r:id="rId1"/>
  </sheets>
  <calcPr calcId="162913"/>
</workbook>
</file>

<file path=xl/calcChain.xml><?xml version="1.0" encoding="utf-8"?>
<calcChain xmlns="http://schemas.openxmlformats.org/spreadsheetml/2006/main">
  <c r="P3" i="1" l="1"/>
  <c r="P2" i="1"/>
  <c r="O2" i="1"/>
  <c r="P5" i="1"/>
  <c r="P4" i="1"/>
  <c r="P6" i="1"/>
  <c r="P7" i="1"/>
  <c r="P8" i="1"/>
  <c r="P9" i="1"/>
  <c r="P10" i="1"/>
  <c r="P11" i="1"/>
  <c r="P12" i="1"/>
  <c r="P13" i="1"/>
  <c r="O3" i="1"/>
  <c r="O4" i="1"/>
  <c r="O5" i="1"/>
  <c r="O6" i="1"/>
  <c r="O7" i="1"/>
  <c r="O8" i="1"/>
  <c r="O9" i="1"/>
  <c r="O10" i="1"/>
  <c r="O11" i="1"/>
  <c r="O12" i="1"/>
  <c r="O13" i="1"/>
  <c r="N3" i="1"/>
  <c r="N2" i="1"/>
  <c r="N4" i="1"/>
  <c r="N5" i="1"/>
  <c r="N6" i="1"/>
  <c r="N7" i="1"/>
  <c r="N8" i="1"/>
  <c r="N9" i="1"/>
  <c r="N10" i="1"/>
  <c r="N11" i="1"/>
  <c r="N12" i="1"/>
  <c r="N13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J3" i="1"/>
  <c r="J4" i="1"/>
  <c r="J2" i="1"/>
  <c r="J5" i="1"/>
  <c r="J6" i="1"/>
  <c r="J7" i="1"/>
  <c r="J8" i="1"/>
  <c r="J9" i="1"/>
  <c r="J10" i="1"/>
  <c r="J11" i="1"/>
  <c r="J12" i="1"/>
  <c r="J13" i="1"/>
  <c r="I3" i="1" l="1"/>
  <c r="I2" i="1"/>
  <c r="H3" i="1"/>
  <c r="H4" i="1"/>
  <c r="H2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G2" i="1"/>
  <c r="E2" i="1"/>
  <c r="K2" i="1" s="1"/>
  <c r="M3" i="1"/>
  <c r="M4" i="1"/>
  <c r="M5" i="1"/>
  <c r="M6" i="1"/>
  <c r="M7" i="1"/>
  <c r="M8" i="1"/>
  <c r="M9" i="1"/>
  <c r="M10" i="1"/>
  <c r="M11" i="1"/>
  <c r="M12" i="1"/>
  <c r="M13" i="1"/>
  <c r="E13" i="1"/>
  <c r="K13" i="1" s="1"/>
  <c r="E12" i="1"/>
  <c r="K12" i="1" s="1"/>
  <c r="E11" i="1"/>
  <c r="K11" i="1" s="1"/>
  <c r="E10" i="1"/>
  <c r="K10" i="1" s="1"/>
  <c r="E9" i="1"/>
  <c r="K9" i="1" s="1"/>
  <c r="E8" i="1"/>
  <c r="K8" i="1" s="1"/>
  <c r="E7" i="1"/>
  <c r="K7" i="1" s="1"/>
  <c r="E6" i="1"/>
  <c r="K6" i="1" s="1"/>
  <c r="I13" i="1"/>
  <c r="I12" i="1"/>
  <c r="I11" i="1"/>
  <c r="I10" i="1"/>
  <c r="I9" i="1"/>
  <c r="I8" i="1"/>
  <c r="I7" i="1"/>
  <c r="I6" i="1"/>
  <c r="I5" i="1"/>
  <c r="E5" i="1"/>
  <c r="K5" i="1" s="1"/>
  <c r="I4" i="1"/>
  <c r="E4" i="1"/>
  <c r="K4" i="1" s="1"/>
  <c r="E3" i="1"/>
  <c r="K3" i="1" s="1"/>
  <c r="F7" i="1" l="1"/>
  <c r="F6" i="1"/>
  <c r="F4" i="1"/>
  <c r="F2" i="1"/>
  <c r="F13" i="1"/>
  <c r="F11" i="1"/>
  <c r="F10" i="1"/>
  <c r="F9" i="1"/>
  <c r="F8" i="1"/>
  <c r="F5" i="1"/>
  <c r="F3" i="1"/>
  <c r="F12" i="1"/>
</calcChain>
</file>

<file path=xl/sharedStrings.xml><?xml version="1.0" encoding="utf-8"?>
<sst xmlns="http://schemas.openxmlformats.org/spreadsheetml/2006/main" count="40" uniqueCount="40">
  <si>
    <t>Sales</t>
  </si>
  <si>
    <t>Cost</t>
  </si>
  <si>
    <t>Profit</t>
  </si>
  <si>
    <t>Grade</t>
  </si>
  <si>
    <t>Text Extract</t>
  </si>
  <si>
    <t>Length</t>
  </si>
  <si>
    <t>Rounded</t>
  </si>
  <si>
    <t>Check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</si>
  <si>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</si>
  <si>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</si>
  <si>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</si>
  <si>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</si>
  <si>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</si>
  <si>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</si>
  <si>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</si>
  <si>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</si>
  <si>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</si>
  <si>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</si>
  <si>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</si>
  <si>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</si>
  <si>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STATES</t>
  </si>
  <si>
    <t>PRODUCT</t>
  </si>
  <si>
    <t>J&amp;K</t>
  </si>
  <si>
    <t>Bihar</t>
  </si>
  <si>
    <t>Goa</t>
  </si>
  <si>
    <t>Kerala</t>
  </si>
  <si>
    <t>Punjab</t>
  </si>
  <si>
    <t>Rajasthan</t>
  </si>
  <si>
    <t>Telangana</t>
  </si>
  <si>
    <t>Jharkhand</t>
  </si>
  <si>
    <t>Haryana</t>
  </si>
  <si>
    <t>Odisha</t>
  </si>
  <si>
    <t>Gujarat</t>
  </si>
  <si>
    <t>Assam</t>
  </si>
  <si>
    <t>PROFIT/LOSS</t>
  </si>
  <si>
    <t>OR</t>
  </si>
  <si>
    <t>AVERAGE/EXCELLENT</t>
  </si>
  <si>
    <t>PERCENTAGE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</si>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</sst>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P13" totalsRowShown="0">
  <autoFilter ref="A1:P13"/>
  <tableColumns count="16">
    <tableColumn id="1" name="PRODUCT"/>
    <tableColumn id="2" name="STATES"/>
    <tableColumn id="3" name="Sales"/>
    <tableColumn id="4" name="Cost"/>
    <tableColumn id="5" name="Profit">
      <calculatedColumnFormula>C2-D2</calculatedColumnFormula>
    </tableColumn>
    <tableColumn id="6" name="Grade" dataDxfId="8">
      <calculatedColumnFormula>IF(E2&gt;1000,"High","Low")</calculatedColumnFormula>
    </tableColumn>
    <tableColumn id="7" name="Text Extract" dataDxfId="7">
      <calculatedColumnFormula>LEFT(A2,8)</calculatedColumnFormula>
    </tableColumn>
    <tableColumn id="8" name="Length" dataDxfId="6">
      <calculatedColumnFormula>LEN(A2)</calculatedColumnFormula>
    </tableColumn>
    <tableColumn id="9" name="Rounded">
      <calculatedColumnFormula>ROUND(C2,0)</calculatedColumnFormula>
    </tableColumn>
    <tableColumn id="10" name="Check" dataDxfId="5">
      <calculatedColumnFormula>IFERROR(C2/D2,"Error")</calculatedColumnFormula>
    </tableColumn>
    <tableColumn id="11" name="PROFIT/LOSS" dataDxfId="4">
      <calculatedColumnFormula>IF(E2&gt;1000,"Profit","Loss")</calculatedColumnFormula>
    </tableColumn>
    <tableColumn id="12" name="OR" dataDxfId="3">
      <calculatedColumnFormula>OR(C2&gt;7000,D2&gt;5000)</calculatedColumnFormula>
    </tableColumn>
    <tableColumn id="13" name="AVERAGE/EXCELLENT">
      <calculatedColumnFormula>IF(AND(C2&gt;5000,D2&lt;4000),"Excellent","Average")</calculatedColumnFormula>
    </tableColumn>
    <tableColumn id="15" name="PERCENTAGE" dataDxfId="2">
      <calculatedColumnFormula>(C2/D2)*100</calculatedColumnFormula>
    </tableColumn>
    <tableColumn id="14" name="MAX" dataDxfId="1">
      <calculatedColumnFormula>MAX(C2:C10)</calculatedColumnFormula>
    </tableColumn>
    <tableColumn id="16" name="MIN" dataDxfId="0">
      <calculatedColumnFormula>MIN(C2:C10)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P3" sqref="P3"/>
    </sheetView>
  </sheetViews>
  <sheetFormatPr defaultRowHeight="14.4" x14ac:dyDescent="0.3"/>
  <cols>
    <col min="1" max="1" width="11" customWidth="1"/>
    <col min="2" max="2" width="11.109375" customWidth="1"/>
    <col min="7" max="7" width="12.6640625" customWidth="1"/>
    <col min="9" max="9" width="10.109375" customWidth="1"/>
    <col min="10" max="10" width="13.88671875" customWidth="1"/>
    <col min="11" max="11" width="13.77734375" customWidth="1"/>
    <col min="12" max="12" width="12.5546875" customWidth="1"/>
    <col min="13" max="13" width="20.5546875" customWidth="1"/>
    <col min="14" max="14" width="11.21875" customWidth="1"/>
    <col min="15" max="15" width="13.77734375" customWidth="1"/>
    <col min="16" max="16" width="11.77734375" customWidth="1"/>
  </cols>
  <sheetData>
    <row r="1" spans="1:16" x14ac:dyDescent="0.3">
      <c r="A1" t="s">
        <v>21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3">
      <c r="A2" t="s">
        <v>8</v>
      </c>
      <c r="B2" t="s">
        <v>26</v>
      </c>
      <c r="C2">
        <v>6123</v>
      </c>
      <c r="D2">
        <v>4000</v>
      </c>
      <c r="E2">
        <f t="shared" ref="E2:E13" si="0">C2-D2</f>
        <v>2123</v>
      </c>
      <c r="F2" t="str">
        <f t="shared" ref="F2:F13" si="1">IF(E2&gt;1000,"High","Low")</f>
        <v>High</v>
      </c>
      <c r="G2" t="str">
        <f>LEFT(A2,8)</f>
        <v xml:space="preserve">Product </v>
      </c>
      <c r="H2">
        <f>LEN(A2)</f>
        <v>9</v>
      </c>
      <c r="I2">
        <f t="shared" ref="I2:I13" si="2">ROUND(C2,0)</f>
        <v>6123</v>
      </c>
      <c r="J2">
        <f>IFERROR(C2/D2,"Error")</f>
        <v>1.5307500000000001</v>
      </c>
      <c r="K2" t="str">
        <f>IF(E2&gt;1000,"Profit","Loss")</f>
        <v>Profit</v>
      </c>
      <c r="L2" t="b">
        <f>OR(C2&gt;7000,D2&gt;5000)</f>
        <v>0</v>
      </c>
      <c r="M2" t="str">
        <f>IF(AND(C2&gt;5000,D2&lt;4000),"Excellent","Average")</f>
        <v>Average</v>
      </c>
      <c r="N2">
        <f>(C2/D2)*100</f>
        <v>153.07500000000002</v>
      </c>
      <c r="O2" s="1">
        <f>MAX(C2:C10)</f>
        <v>8555</v>
      </c>
      <c r="P2" s="1">
        <f>MIN(C2:C10)</f>
        <v>2355</v>
      </c>
    </row>
    <row r="3" spans="1:16" x14ac:dyDescent="0.3">
      <c r="A3" t="s">
        <v>9</v>
      </c>
      <c r="B3" t="s">
        <v>22</v>
      </c>
      <c r="C3">
        <v>3456</v>
      </c>
      <c r="D3">
        <v>3500</v>
      </c>
      <c r="E3">
        <f t="shared" si="0"/>
        <v>-44</v>
      </c>
      <c r="F3" t="str">
        <f t="shared" si="1"/>
        <v>Low</v>
      </c>
      <c r="G3" t="str">
        <f t="shared" ref="G3:G13" si="3">LEFT(A3,8)</f>
        <v xml:space="preserve">Product </v>
      </c>
      <c r="H3">
        <f t="shared" ref="H3:H4" si="4">LEN(A3)</f>
        <v>9</v>
      </c>
      <c r="I3">
        <f t="shared" si="2"/>
        <v>3456</v>
      </c>
      <c r="J3">
        <f t="shared" ref="J3:J4" si="5">IFERROR(C3/D3,"Error")</f>
        <v>0.98742857142857143</v>
      </c>
      <c r="K3" t="str">
        <f t="shared" ref="K3:K13" si="6">IF(E3&gt;1000,"Profit","Loss")</f>
        <v>Loss</v>
      </c>
      <c r="L3" t="b">
        <f t="shared" ref="L3:L13" si="7">OR(C3&gt;7000,D3&gt;5000)</f>
        <v>0</v>
      </c>
      <c r="M3" t="str">
        <f t="shared" ref="M3:M13" si="8">IF(AND(C3&gt;5000,D3&lt;4000),"Excellent","Average")</f>
        <v>Average</v>
      </c>
      <c r="N3">
        <f>(C3/D3)*100</f>
        <v>98.742857142857147</v>
      </c>
      <c r="O3" s="1">
        <f t="shared" ref="O3:O13" si="9">MAX(C3:C11)</f>
        <v>8555</v>
      </c>
      <c r="P3" s="1">
        <f>MIN(C3:C11)</f>
        <v>2355</v>
      </c>
    </row>
    <row r="4" spans="1:16" x14ac:dyDescent="0.3">
      <c r="A4" t="s">
        <v>10</v>
      </c>
      <c r="B4" t="s">
        <v>23</v>
      </c>
      <c r="C4">
        <v>8234</v>
      </c>
      <c r="D4">
        <v>5000</v>
      </c>
      <c r="E4">
        <f t="shared" si="0"/>
        <v>3234</v>
      </c>
      <c r="F4" t="str">
        <f t="shared" si="1"/>
        <v>High</v>
      </c>
      <c r="G4" t="str">
        <f t="shared" si="3"/>
        <v xml:space="preserve">Product </v>
      </c>
      <c r="H4">
        <f t="shared" si="4"/>
        <v>9</v>
      </c>
      <c r="I4">
        <f t="shared" si="2"/>
        <v>8234</v>
      </c>
      <c r="J4">
        <f t="shared" si="5"/>
        <v>1.6468</v>
      </c>
      <c r="K4" t="str">
        <f t="shared" si="6"/>
        <v>Profit</v>
      </c>
      <c r="L4" t="b">
        <f t="shared" si="7"/>
        <v>1</v>
      </c>
      <c r="M4" t="str">
        <f t="shared" si="8"/>
        <v>Average</v>
      </c>
      <c r="N4">
        <f>(C4/D4)*100</f>
        <v>164.68</v>
      </c>
      <c r="O4" s="1">
        <f t="shared" si="9"/>
        <v>8555</v>
      </c>
      <c r="P4" s="1">
        <f>MIN(C4:C12)</f>
        <v>2355</v>
      </c>
    </row>
    <row r="5" spans="1:16" x14ac:dyDescent="0.3">
      <c r="A5" t="s">
        <v>11</v>
      </c>
      <c r="B5" t="s">
        <v>24</v>
      </c>
      <c r="C5">
        <v>2789</v>
      </c>
      <c r="D5">
        <v>2500</v>
      </c>
      <c r="E5">
        <f t="shared" si="0"/>
        <v>289</v>
      </c>
      <c r="F5" t="str">
        <f t="shared" si="1"/>
        <v>Low</v>
      </c>
      <c r="G5" t="str">
        <f t="shared" si="3"/>
        <v xml:space="preserve">Product </v>
      </c>
      <c r="H5">
        <f>LEN(A5)</f>
        <v>9</v>
      </c>
      <c r="I5">
        <f t="shared" si="2"/>
        <v>2789</v>
      </c>
      <c r="J5">
        <f t="shared" ref="J5:J13" si="10">IFERROR(C5/D5,"Error")</f>
        <v>1.1155999999999999</v>
      </c>
      <c r="K5" t="str">
        <f t="shared" si="6"/>
        <v>Loss</v>
      </c>
      <c r="L5" t="b">
        <f t="shared" si="7"/>
        <v>0</v>
      </c>
      <c r="M5" t="str">
        <f t="shared" si="8"/>
        <v>Average</v>
      </c>
      <c r="N5">
        <f>(C5/D5)*100</f>
        <v>111.55999999999999</v>
      </c>
      <c r="O5" s="1">
        <f t="shared" si="9"/>
        <v>8555</v>
      </c>
      <c r="P5" s="1">
        <f>MIN(C5:C13)</f>
        <v>2355</v>
      </c>
    </row>
    <row r="6" spans="1:16" x14ac:dyDescent="0.3">
      <c r="A6" t="s">
        <v>12</v>
      </c>
      <c r="B6" t="s">
        <v>25</v>
      </c>
      <c r="C6">
        <v>6522</v>
      </c>
      <c r="D6">
        <v>4000</v>
      </c>
      <c r="E6">
        <f t="shared" si="0"/>
        <v>2522</v>
      </c>
      <c r="F6" t="str">
        <f t="shared" si="1"/>
        <v>High</v>
      </c>
      <c r="G6" t="str">
        <f t="shared" si="3"/>
        <v xml:space="preserve">Product </v>
      </c>
      <c r="H6">
        <f t="shared" ref="H6:H13" si="11">LEN(A6)</f>
        <v>9</v>
      </c>
      <c r="I6">
        <f t="shared" si="2"/>
        <v>6522</v>
      </c>
      <c r="J6">
        <f t="shared" si="10"/>
        <v>1.6305000000000001</v>
      </c>
      <c r="K6" t="str">
        <f t="shared" si="6"/>
        <v>Profit</v>
      </c>
      <c r="L6" t="b">
        <f t="shared" si="7"/>
        <v>0</v>
      </c>
      <c r="M6" t="str">
        <f t="shared" si="8"/>
        <v>Average</v>
      </c>
      <c r="N6">
        <f>(C6/D6)*100</f>
        <v>163.05000000000001</v>
      </c>
      <c r="O6" s="1">
        <f t="shared" si="9"/>
        <v>8555</v>
      </c>
      <c r="P6" s="1">
        <f t="shared" ref="P2:P13" si="12">MIN(C6:C14)</f>
        <v>2355</v>
      </c>
    </row>
    <row r="7" spans="1:16" x14ac:dyDescent="0.3">
      <c r="A7" t="s">
        <v>13</v>
      </c>
      <c r="B7" t="s">
        <v>27</v>
      </c>
      <c r="C7">
        <v>8555</v>
      </c>
      <c r="D7">
        <v>4500</v>
      </c>
      <c r="E7">
        <f t="shared" si="0"/>
        <v>4055</v>
      </c>
      <c r="F7" t="str">
        <f t="shared" si="1"/>
        <v>High</v>
      </c>
      <c r="G7" t="str">
        <f t="shared" si="3"/>
        <v xml:space="preserve">Product </v>
      </c>
      <c r="H7">
        <f t="shared" si="11"/>
        <v>9</v>
      </c>
      <c r="I7">
        <f t="shared" si="2"/>
        <v>8555</v>
      </c>
      <c r="J7">
        <f t="shared" si="10"/>
        <v>1.9011111111111112</v>
      </c>
      <c r="K7" t="str">
        <f t="shared" si="6"/>
        <v>Profit</v>
      </c>
      <c r="L7" t="b">
        <f t="shared" si="7"/>
        <v>1</v>
      </c>
      <c r="M7" t="str">
        <f t="shared" si="8"/>
        <v>Average</v>
      </c>
      <c r="N7">
        <f>(C7/D7)*100</f>
        <v>190.11111111111111</v>
      </c>
      <c r="O7" s="1">
        <f t="shared" si="9"/>
        <v>8555</v>
      </c>
      <c r="P7" s="1">
        <f t="shared" si="12"/>
        <v>2355</v>
      </c>
    </row>
    <row r="8" spans="1:16" x14ac:dyDescent="0.3">
      <c r="A8" t="s">
        <v>14</v>
      </c>
      <c r="B8" t="s">
        <v>28</v>
      </c>
      <c r="C8">
        <v>2355</v>
      </c>
      <c r="D8">
        <v>3000</v>
      </c>
      <c r="E8">
        <f t="shared" si="0"/>
        <v>-645</v>
      </c>
      <c r="F8" t="str">
        <f t="shared" si="1"/>
        <v>Low</v>
      </c>
      <c r="G8" t="str">
        <f t="shared" si="3"/>
        <v xml:space="preserve">Product </v>
      </c>
      <c r="H8">
        <f t="shared" si="11"/>
        <v>9</v>
      </c>
      <c r="I8">
        <f t="shared" si="2"/>
        <v>2355</v>
      </c>
      <c r="J8">
        <f t="shared" si="10"/>
        <v>0.78500000000000003</v>
      </c>
      <c r="K8" t="str">
        <f t="shared" si="6"/>
        <v>Loss</v>
      </c>
      <c r="L8" t="b">
        <f t="shared" si="7"/>
        <v>0</v>
      </c>
      <c r="M8" t="str">
        <f t="shared" si="8"/>
        <v>Average</v>
      </c>
      <c r="N8">
        <f>(C8/D8)*100</f>
        <v>78.5</v>
      </c>
      <c r="O8" s="1">
        <f t="shared" si="9"/>
        <v>6589</v>
      </c>
      <c r="P8" s="1">
        <f t="shared" si="12"/>
        <v>2355</v>
      </c>
    </row>
    <row r="9" spans="1:16" x14ac:dyDescent="0.3">
      <c r="A9" t="s">
        <v>15</v>
      </c>
      <c r="B9" t="s">
        <v>29</v>
      </c>
      <c r="C9">
        <v>2588</v>
      </c>
      <c r="D9">
        <v>2000</v>
      </c>
      <c r="E9">
        <f t="shared" si="0"/>
        <v>588</v>
      </c>
      <c r="F9" t="str">
        <f t="shared" si="1"/>
        <v>Low</v>
      </c>
      <c r="G9" t="str">
        <f t="shared" si="3"/>
        <v xml:space="preserve">Product </v>
      </c>
      <c r="H9">
        <f t="shared" si="11"/>
        <v>9</v>
      </c>
      <c r="I9">
        <f t="shared" si="2"/>
        <v>2588</v>
      </c>
      <c r="J9">
        <f t="shared" si="10"/>
        <v>1.294</v>
      </c>
      <c r="K9" t="str">
        <f t="shared" si="6"/>
        <v>Loss</v>
      </c>
      <c r="L9" t="b">
        <f t="shared" si="7"/>
        <v>0</v>
      </c>
      <c r="M9" t="str">
        <f t="shared" si="8"/>
        <v>Average</v>
      </c>
      <c r="N9">
        <f>(C9/D9)*100</f>
        <v>129.4</v>
      </c>
      <c r="O9" s="1">
        <f t="shared" si="9"/>
        <v>6589</v>
      </c>
      <c r="P9" s="1">
        <f t="shared" si="12"/>
        <v>2588</v>
      </c>
    </row>
    <row r="10" spans="1:16" x14ac:dyDescent="0.3">
      <c r="A10" t="s">
        <v>16</v>
      </c>
      <c r="B10" t="s">
        <v>30</v>
      </c>
      <c r="C10">
        <v>4569</v>
      </c>
      <c r="D10">
        <v>2500</v>
      </c>
      <c r="E10">
        <f t="shared" si="0"/>
        <v>2069</v>
      </c>
      <c r="F10" t="str">
        <f t="shared" si="1"/>
        <v>High</v>
      </c>
      <c r="G10" t="str">
        <f t="shared" si="3"/>
        <v xml:space="preserve">Product </v>
      </c>
      <c r="H10">
        <f t="shared" si="11"/>
        <v>9</v>
      </c>
      <c r="I10">
        <f t="shared" si="2"/>
        <v>4569</v>
      </c>
      <c r="J10">
        <f t="shared" si="10"/>
        <v>1.8275999999999999</v>
      </c>
      <c r="K10" t="str">
        <f t="shared" si="6"/>
        <v>Profit</v>
      </c>
      <c r="L10" t="b">
        <f>OR(C10&gt;7000,D10&gt;5000)</f>
        <v>0</v>
      </c>
      <c r="M10" t="str">
        <f t="shared" si="8"/>
        <v>Average</v>
      </c>
      <c r="N10">
        <f>(C10/D10)*100</f>
        <v>182.76</v>
      </c>
      <c r="O10" s="1">
        <f t="shared" si="9"/>
        <v>6589</v>
      </c>
      <c r="P10" s="1">
        <f t="shared" si="12"/>
        <v>4569</v>
      </c>
    </row>
    <row r="11" spans="1:16" x14ac:dyDescent="0.3">
      <c r="A11" t="s">
        <v>17</v>
      </c>
      <c r="B11" t="s">
        <v>31</v>
      </c>
      <c r="C11">
        <v>6589</v>
      </c>
      <c r="D11">
        <v>5000</v>
      </c>
      <c r="E11">
        <f t="shared" si="0"/>
        <v>1589</v>
      </c>
      <c r="F11" t="str">
        <f t="shared" si="1"/>
        <v>High</v>
      </c>
      <c r="G11" t="str">
        <f t="shared" si="3"/>
        <v xml:space="preserve">Product </v>
      </c>
      <c r="H11">
        <f t="shared" si="11"/>
        <v>9</v>
      </c>
      <c r="I11">
        <f t="shared" si="2"/>
        <v>6589</v>
      </c>
      <c r="J11">
        <f t="shared" si="10"/>
        <v>1.3178000000000001</v>
      </c>
      <c r="K11" t="str">
        <f t="shared" si="6"/>
        <v>Profit</v>
      </c>
      <c r="L11" t="b">
        <f t="shared" si="7"/>
        <v>0</v>
      </c>
      <c r="M11" t="str">
        <f t="shared" si="8"/>
        <v>Average</v>
      </c>
      <c r="N11">
        <f>(C11/D11)*100</f>
        <v>131.78</v>
      </c>
      <c r="O11" s="1">
        <f t="shared" si="9"/>
        <v>6589</v>
      </c>
      <c r="P11" s="1">
        <f t="shared" si="12"/>
        <v>4578</v>
      </c>
    </row>
    <row r="12" spans="1:16" x14ac:dyDescent="0.3">
      <c r="A12" t="s">
        <v>18</v>
      </c>
      <c r="B12" t="s">
        <v>32</v>
      </c>
      <c r="C12">
        <v>4578</v>
      </c>
      <c r="D12">
        <v>4200</v>
      </c>
      <c r="E12">
        <f t="shared" si="0"/>
        <v>378</v>
      </c>
      <c r="F12" t="str">
        <f t="shared" si="1"/>
        <v>Low</v>
      </c>
      <c r="G12" t="str">
        <f t="shared" si="3"/>
        <v xml:space="preserve">Product </v>
      </c>
      <c r="H12">
        <f t="shared" si="11"/>
        <v>9</v>
      </c>
      <c r="I12">
        <f t="shared" si="2"/>
        <v>4578</v>
      </c>
      <c r="J12">
        <f t="shared" si="10"/>
        <v>1.0900000000000001</v>
      </c>
      <c r="K12" t="str">
        <f t="shared" si="6"/>
        <v>Loss</v>
      </c>
      <c r="L12" t="b">
        <f t="shared" si="7"/>
        <v>0</v>
      </c>
      <c r="M12" t="str">
        <f t="shared" si="8"/>
        <v>Average</v>
      </c>
      <c r="N12">
        <f>(C12/D12)*100</f>
        <v>109.00000000000001</v>
      </c>
      <c r="O12" s="1">
        <f t="shared" si="9"/>
        <v>5874</v>
      </c>
      <c r="P12" s="1">
        <f t="shared" si="12"/>
        <v>4578</v>
      </c>
    </row>
    <row r="13" spans="1:16" x14ac:dyDescent="0.3">
      <c r="A13" t="s">
        <v>19</v>
      </c>
      <c r="B13" t="s">
        <v>33</v>
      </c>
      <c r="C13">
        <v>5874</v>
      </c>
      <c r="D13">
        <v>3300</v>
      </c>
      <c r="E13">
        <f t="shared" si="0"/>
        <v>2574</v>
      </c>
      <c r="F13" t="str">
        <f t="shared" si="1"/>
        <v>High</v>
      </c>
      <c r="G13" t="str">
        <f t="shared" si="3"/>
        <v xml:space="preserve">Product </v>
      </c>
      <c r="H13">
        <f t="shared" si="11"/>
        <v>9</v>
      </c>
      <c r="I13">
        <f t="shared" si="2"/>
        <v>5874</v>
      </c>
      <c r="J13">
        <f t="shared" si="10"/>
        <v>1.78</v>
      </c>
      <c r="K13" t="str">
        <f t="shared" si="6"/>
        <v>Profit</v>
      </c>
      <c r="L13" t="b">
        <f t="shared" si="7"/>
        <v>0</v>
      </c>
      <c r="M13" t="str">
        <f t="shared" si="8"/>
        <v>Excellent</v>
      </c>
      <c r="N13">
        <f>(C13/D13)*100</f>
        <v>178</v>
      </c>
      <c r="O13" s="1">
        <f t="shared" si="9"/>
        <v>5874</v>
      </c>
      <c r="P13" s="1">
        <f t="shared" si="12"/>
        <v>5874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 shafi</cp:lastModifiedBy>
  <dcterms:created xsi:type="dcterms:W3CDTF">2026-04-15T03:50:45Z</dcterms:created>
  <dcterms:modified xsi:type="dcterms:W3CDTF">2026-04-15T06:39:34Z</dcterms:modified>
</cp:coreProperties>
</file>